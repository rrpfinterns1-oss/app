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omms\ESG including CSR\CSR\Interns\RRPF Internship 2026\Intern Group Project 2026\"/>
    </mc:Choice>
  </mc:AlternateContent>
  <xr:revisionPtr revIDLastSave="0" documentId="13_ncr:1_{E0A9E46A-035A-44AF-9C3C-E2EC952545AD}" xr6:coauthVersionLast="47" xr6:coauthVersionMax="47" xr10:uidLastSave="{00000000-0000-0000-0000-000000000000}"/>
  <bookViews>
    <workbookView xWindow="-120" yWindow="-120" windowWidth="29040" windowHeight="15840" xr2:uid="{2A31180D-D7D8-4CB6-88D9-0C538C6015CB}"/>
  </bookViews>
  <sheets>
    <sheet name="Portfolio" sheetId="1" r:id="rId1"/>
    <sheet name="Est.Emissions" sheetId="3" r:id="rId2"/>
    <sheet name="CO2.Credi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" i="1" l="1"/>
  <c r="I17" i="1"/>
  <c r="J17" i="1"/>
  <c r="K17" i="1"/>
  <c r="L17" i="1"/>
  <c r="M17" i="1"/>
  <c r="N17" i="1"/>
  <c r="O17" i="1"/>
  <c r="P17" i="1" s="1"/>
  <c r="P5" i="1"/>
  <c r="P8" i="1"/>
  <c r="P9" i="1"/>
  <c r="P10" i="1"/>
  <c r="P11" i="1"/>
  <c r="P14" i="1"/>
  <c r="P18" i="1"/>
  <c r="X7" i="1"/>
  <c r="X8" i="1"/>
  <c r="X9" i="1"/>
  <c r="X10" i="1"/>
  <c r="X11" i="1"/>
  <c r="X12" i="1"/>
  <c r="X13" i="1"/>
  <c r="X14" i="1"/>
  <c r="X15" i="1"/>
  <c r="X16" i="1"/>
  <c r="X17" i="1"/>
  <c r="X18" i="1"/>
  <c r="W6" i="1"/>
  <c r="X6" i="1" s="1"/>
  <c r="V6" i="1"/>
  <c r="U6" i="1"/>
  <c r="D6" i="3"/>
  <c r="D7" i="3"/>
  <c r="D8" i="3"/>
  <c r="D9" i="3"/>
  <c r="D10" i="3"/>
  <c r="D11" i="3"/>
  <c r="D12" i="3"/>
  <c r="D13" i="3"/>
  <c r="D14" i="3"/>
  <c r="D15" i="3"/>
  <c r="D16" i="3"/>
  <c r="D17" i="3"/>
  <c r="D5" i="3"/>
  <c r="B19" i="1" l="1"/>
  <c r="A9" i="2"/>
  <c r="A8" i="2"/>
  <c r="A7" i="2"/>
  <c r="A6" i="2"/>
  <c r="A5" i="2"/>
  <c r="A4" i="2"/>
  <c r="C3" i="2"/>
  <c r="W19" i="1"/>
  <c r="V19" i="1"/>
  <c r="U19" i="1"/>
  <c r="D17" i="1"/>
  <c r="D12" i="1"/>
  <c r="D10" i="1"/>
  <c r="D14" i="1"/>
  <c r="D11" i="1"/>
  <c r="D7" i="1"/>
  <c r="D9" i="1"/>
  <c r="D8" i="1"/>
  <c r="D13" i="1"/>
  <c r="D15" i="1"/>
  <c r="D16" i="1"/>
  <c r="H18" i="1"/>
  <c r="D18" i="1"/>
  <c r="D6" i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E13" i="1" l="1"/>
  <c r="E17" i="1"/>
  <c r="E8" i="1"/>
  <c r="E14" i="1"/>
  <c r="E18" i="1"/>
  <c r="E16" i="1"/>
  <c r="E9" i="1"/>
  <c r="E10" i="1"/>
  <c r="E11" i="1"/>
  <c r="I18" i="1"/>
  <c r="E6" i="1"/>
  <c r="E15" i="1"/>
  <c r="E12" i="1"/>
  <c r="X19" i="1"/>
  <c r="D19" i="1"/>
  <c r="C19" i="1"/>
  <c r="J18" i="1" l="1"/>
  <c r="F9" i="1"/>
  <c r="F8" i="1"/>
  <c r="F16" i="1"/>
  <c r="F17" i="1"/>
  <c r="F6" i="1"/>
  <c r="F10" i="1"/>
  <c r="F14" i="1"/>
  <c r="E19" i="1"/>
  <c r="F11" i="1"/>
  <c r="F18" i="1"/>
  <c r="F13" i="1"/>
  <c r="G8" i="1" l="1"/>
  <c r="G9" i="1"/>
  <c r="G10" i="1"/>
  <c r="G13" i="1"/>
  <c r="G14" i="1"/>
  <c r="G6" i="1"/>
  <c r="G16" i="1"/>
  <c r="F19" i="1"/>
  <c r="G11" i="1"/>
  <c r="G17" i="1"/>
  <c r="K18" i="1"/>
  <c r="H6" i="1" l="1"/>
  <c r="G19" i="1"/>
  <c r="H11" i="1"/>
  <c r="H10" i="1"/>
  <c r="H16" i="1"/>
  <c r="H13" i="1"/>
  <c r="H9" i="1"/>
  <c r="H8" i="1"/>
  <c r="L18" i="1"/>
  <c r="H14" i="1"/>
  <c r="I11" i="1" l="1"/>
  <c r="I14" i="1"/>
  <c r="M18" i="1"/>
  <c r="I10" i="1"/>
  <c r="I8" i="1"/>
  <c r="H19" i="1"/>
  <c r="I13" i="1"/>
  <c r="I9" i="1"/>
  <c r="J9" i="1" l="1"/>
  <c r="J8" i="1"/>
  <c r="I19" i="1"/>
  <c r="J13" i="1"/>
  <c r="J10" i="1"/>
  <c r="J14" i="1"/>
  <c r="N18" i="1"/>
  <c r="O18" i="1" s="1"/>
  <c r="J11" i="1"/>
  <c r="K11" i="1" l="1"/>
  <c r="K10" i="1"/>
  <c r="K8" i="1"/>
  <c r="J19" i="1"/>
  <c r="K14" i="1"/>
  <c r="K9" i="1"/>
  <c r="L9" i="1" l="1"/>
  <c r="L10" i="1"/>
  <c r="L14" i="1"/>
  <c r="L8" i="1"/>
  <c r="K19" i="1"/>
  <c r="L11" i="1"/>
  <c r="M10" i="1" l="1"/>
  <c r="M11" i="1"/>
  <c r="M14" i="1"/>
  <c r="M8" i="1"/>
  <c r="L19" i="1"/>
  <c r="M9" i="1"/>
  <c r="P19" i="1" l="1"/>
  <c r="N11" i="1"/>
  <c r="O11" i="1" s="1"/>
  <c r="N14" i="1"/>
  <c r="O14" i="1" s="1"/>
  <c r="N9" i="1"/>
  <c r="O9" i="1" s="1"/>
  <c r="N8" i="1"/>
  <c r="O8" i="1" s="1"/>
  <c r="M19" i="1"/>
  <c r="N10" i="1"/>
  <c r="O10" i="1" s="1"/>
  <c r="O19" i="1" l="1"/>
  <c r="N19" i="1"/>
</calcChain>
</file>

<file path=xl/sharedStrings.xml><?xml version="1.0" encoding="utf-8"?>
<sst xmlns="http://schemas.openxmlformats.org/spreadsheetml/2006/main" count="93" uniqueCount="56">
  <si>
    <t>RRPF Portfolio</t>
  </si>
  <si>
    <t>Type</t>
  </si>
  <si>
    <t>CFM56</t>
  </si>
  <si>
    <t>GE90</t>
  </si>
  <si>
    <t>LEAP 1-A</t>
  </si>
  <si>
    <t>LEAP 1-B</t>
  </si>
  <si>
    <t>PW1100G</t>
  </si>
  <si>
    <t>Trent 1000</t>
  </si>
  <si>
    <t>Trent 500</t>
  </si>
  <si>
    <t>Trent 700</t>
  </si>
  <si>
    <t>Trent 7000</t>
  </si>
  <si>
    <t>Trent 800</t>
  </si>
  <si>
    <t>Trent 900</t>
  </si>
  <si>
    <t>Trent XWB</t>
  </si>
  <si>
    <t>V2500</t>
  </si>
  <si>
    <t>Est. Flights per year</t>
  </si>
  <si>
    <t>Engine Quantity Forecast</t>
  </si>
  <si>
    <t>Sub-Totals</t>
  </si>
  <si>
    <t>Average Profit Per Engine Per Year</t>
  </si>
  <si>
    <t>Proejct Look-Up</t>
  </si>
  <si>
    <t>Project Name</t>
  </si>
  <si>
    <t>Project Link</t>
  </si>
  <si>
    <t>Country</t>
  </si>
  <si>
    <t>Price (tCO2e)</t>
  </si>
  <si>
    <t>Project URL</t>
  </si>
  <si>
    <t>Select from drop-down</t>
  </si>
  <si>
    <t xml:space="preserve"> </t>
  </si>
  <si>
    <t>https://www.naturalcapitalpartners.com/projects</t>
  </si>
  <si>
    <t>https://www.naturalcapitalpartners.com/projects/project/colorado-grasslands</t>
  </si>
  <si>
    <t>https://www.naturalcapitalpartners.com/projects/project/mississippi-valley-reforestation</t>
  </si>
  <si>
    <t>https://www.naturalcapitalpartners.com/projects/project/rimba-raya-biodiversity-reserve</t>
  </si>
  <si>
    <t>https://www.naturalcapitalpartners.com/projects/project/australian-savanna-fire-management</t>
  </si>
  <si>
    <t>https://www.naturalcapitalpartners.com/projects/project/sub-saharan-africa-improved-water-infrastructure</t>
  </si>
  <si>
    <t>Est. Annual tCO2e</t>
  </si>
  <si>
    <t>Average Emissions per Engine per Typical Flight</t>
  </si>
  <si>
    <t>Est. tCO2e per engine/flight</t>
  </si>
  <si>
    <t>Total Monthly Income per engine</t>
  </si>
  <si>
    <t>Total Monthly Depreciation per engine</t>
  </si>
  <si>
    <t>Total Monthly Interest Cost per engines</t>
  </si>
  <si>
    <t>Engine Type Economics 2026 ($ USD)</t>
  </si>
  <si>
    <t>Aranya Reforestation</t>
  </si>
  <si>
    <t>India</t>
  </si>
  <si>
    <t>Link</t>
  </si>
  <si>
    <t>Removal</t>
  </si>
  <si>
    <t>Sabah INFAPRO Rainforest IFM</t>
  </si>
  <si>
    <t>Malaysia</t>
  </si>
  <si>
    <t>SAFc: Sustainable Aviation Fuel Certificates</t>
  </si>
  <si>
    <t>Reduction</t>
  </si>
  <si>
    <t>Accelerate CDR</t>
  </si>
  <si>
    <t>Bondhu Chula Stoves</t>
  </si>
  <si>
    <t>Avoidance</t>
  </si>
  <si>
    <t>Bangladesh</t>
  </si>
  <si>
    <t>Advanced Landfill Gas Capture</t>
  </si>
  <si>
    <t>Mississippi, US</t>
  </si>
  <si>
    <t>Avoidance - Tech based</t>
  </si>
  <si>
    <t>Accelerate - Tech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</si>
</sst>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£&quot;* #,##0.00_);_(&quot;£&quot;* \(#,##0.00\);_(&quot;£&quot;* &quot;-&quot;??_);_(@_)"/>
    <numFmt numFmtId="165" formatCode="_-[$$-409]* #,##0.00_ ;_-[$$-409]* \-#,##0.00\ ;_-[$$-409]* &quot;-&quot;??_ ;_-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5A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  <xf numFmtId="0" fontId="0" fillId="0" borderId="3" xfId="0" applyBorder="1"/>
    <xf numFmtId="0" fontId="4" fillId="0" borderId="0" xfId="0" applyFont="1"/>
    <xf numFmtId="3" fontId="2" fillId="0" borderId="1" xfId="0" applyNumberFormat="1" applyFont="1" applyBorder="1"/>
    <xf numFmtId="0" fontId="5" fillId="3" borderId="0" xfId="0" applyFont="1" applyFill="1"/>
    <xf numFmtId="0" fontId="6" fillId="0" borderId="0" xfId="0" applyFont="1"/>
    <xf numFmtId="0" fontId="7" fillId="0" borderId="0" xfId="0" applyFont="1" applyAlignment="1">
      <alignment horizontal="center" vertical="center"/>
    </xf>
    <xf numFmtId="164" fontId="6" fillId="0" borderId="0" xfId="1" applyFont="1"/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 applyProtection="1">
      <alignment horizontal="center" vertical="center"/>
      <protection hidden="1"/>
    </xf>
    <xf numFmtId="164" fontId="8" fillId="4" borderId="0" xfId="1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10" fillId="0" borderId="0" xfId="2" applyFont="1" applyFill="1" applyBorder="1" applyAlignment="1">
      <alignment horizontal="center" vertical="center"/>
    </xf>
    <xf numFmtId="164" fontId="5" fillId="0" borderId="0" xfId="1" applyFont="1" applyFill="1" applyBorder="1"/>
    <xf numFmtId="0" fontId="8" fillId="0" borderId="0" xfId="0" applyFont="1" applyAlignment="1">
      <alignment horizontal="center"/>
    </xf>
    <xf numFmtId="0" fontId="6" fillId="0" borderId="4" xfId="0" applyFont="1" applyBorder="1"/>
    <xf numFmtId="0" fontId="11" fillId="0" borderId="0" xfId="0" applyFont="1"/>
    <xf numFmtId="164" fontId="6" fillId="0" borderId="0" xfId="1" applyFont="1" applyProtection="1"/>
    <xf numFmtId="0" fontId="0" fillId="0" borderId="2" xfId="0" applyBorder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6" fillId="0" borderId="4" xfId="1" applyNumberFormat="1" applyFont="1" applyFill="1" applyBorder="1" applyProtection="1"/>
    <xf numFmtId="0" fontId="9" fillId="0" borderId="4" xfId="2" applyBorder="1" applyAlignment="1" applyProtection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304800</xdr:colOff>
      <xdr:row>2</xdr:row>
      <xdr:rowOff>0</xdr:rowOff>
    </xdr:to>
    <xdr:sp macro="" textlink="">
      <xdr:nvSpPr>
        <xdr:cNvPr id="2" name="AutoShape 4" descr="Image result for sdg goals 1">
          <a:extLst>
            <a:ext uri="{FF2B5EF4-FFF2-40B4-BE49-F238E27FC236}">
              <a16:creationId xmlns:a16="http://schemas.microsoft.com/office/drawing/2014/main" id="{39ED3873-B698-4AEA-950D-A7339304BBEE}"/>
            </a:ext>
          </a:extLst>
        </xdr:cNvPr>
        <xdr:cNvSpPr>
          <a:spLocks noChangeAspect="1" noChangeArrowheads="1"/>
        </xdr:cNvSpPr>
      </xdr:nvSpPr>
      <xdr:spPr bwMode="auto">
        <a:xfrm>
          <a:off x="13296900" y="1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14" name="AutoShape 4" descr="Image result for sdg goals 1">
          <a:extLst>
            <a:ext uri="{FF2B5EF4-FFF2-40B4-BE49-F238E27FC236}">
              <a16:creationId xmlns:a16="http://schemas.microsoft.com/office/drawing/2014/main" id="{819BD9BC-2932-4774-94EB-0E168A6297CD}"/>
            </a:ext>
          </a:extLst>
        </xdr:cNvPr>
        <xdr:cNvSpPr>
          <a:spLocks noChangeAspect="1" noChangeArrowheads="1"/>
        </xdr:cNvSpPr>
      </xdr:nvSpPr>
      <xdr:spPr bwMode="auto">
        <a:xfrm>
          <a:off x="1329690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1</xdr:row>
      <xdr:rowOff>0</xdr:rowOff>
    </xdr:from>
    <xdr:to>
      <xdr:col>7</xdr:col>
      <xdr:colOff>304800</xdr:colOff>
      <xdr:row>2</xdr:row>
      <xdr:rowOff>0</xdr:rowOff>
    </xdr:to>
    <xdr:sp macro="" textlink="">
      <xdr:nvSpPr>
        <xdr:cNvPr id="15" name="AutoShape 4" descr="Image result for sdg goals 1">
          <a:extLst>
            <a:ext uri="{FF2B5EF4-FFF2-40B4-BE49-F238E27FC236}">
              <a16:creationId xmlns:a16="http://schemas.microsoft.com/office/drawing/2014/main" id="{A14A4BAB-2C04-4243-BA5A-8C76AFD2AC35}"/>
            </a:ext>
          </a:extLst>
        </xdr:cNvPr>
        <xdr:cNvSpPr>
          <a:spLocks noChangeAspect="1" noChangeArrowheads="1"/>
        </xdr:cNvSpPr>
      </xdr:nvSpPr>
      <xdr:spPr bwMode="auto">
        <a:xfrm>
          <a:off x="11788140" y="1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304800</xdr:colOff>
      <xdr:row>2</xdr:row>
      <xdr:rowOff>0</xdr:rowOff>
    </xdr:to>
    <xdr:sp macro="" textlink="">
      <xdr:nvSpPr>
        <xdr:cNvPr id="33" name="AutoShape 4" descr="Image result for sdg goals 1">
          <a:extLst>
            <a:ext uri="{FF2B5EF4-FFF2-40B4-BE49-F238E27FC236}">
              <a16:creationId xmlns:a16="http://schemas.microsoft.com/office/drawing/2014/main" id="{77AC375E-BEE4-4238-A477-08E508D1CE30}"/>
            </a:ext>
          </a:extLst>
        </xdr:cNvPr>
        <xdr:cNvSpPr>
          <a:spLocks noChangeAspect="1" noChangeArrowheads="1"/>
        </xdr:cNvSpPr>
      </xdr:nvSpPr>
      <xdr:spPr bwMode="auto">
        <a:xfrm>
          <a:off x="11788140" y="1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</xdr:row>
      <xdr:rowOff>0</xdr:rowOff>
    </xdr:from>
    <xdr:ext cx="304800" cy="304800"/>
    <xdr:sp macro="" textlink="">
      <xdr:nvSpPr>
        <xdr:cNvPr id="46" name="AutoShape 4" descr="Image result for sdg goals 1">
          <a:extLst>
            <a:ext uri="{FF2B5EF4-FFF2-40B4-BE49-F238E27FC236}">
              <a16:creationId xmlns:a16="http://schemas.microsoft.com/office/drawing/2014/main" id="{206571D7-AC9E-47BD-90FB-21BBEAFFE410}"/>
            </a:ext>
          </a:extLst>
        </xdr:cNvPr>
        <xdr:cNvSpPr>
          <a:spLocks noChangeAspect="1" noChangeArrowheads="1"/>
        </xdr:cNvSpPr>
      </xdr:nvSpPr>
      <xdr:spPr bwMode="auto">
        <a:xfrm>
          <a:off x="1178814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climateimpact.com/projects/sustainable-aviation-fuel-certificates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climateimpact.com/projects/sabah-rainforest-rehabilitation-malaysia/" TargetMode="External"/><Relationship Id="rId1" Type="http://schemas.openxmlformats.org/officeDocument/2006/relationships/hyperlink" Target="https://www.climateimpact.com/projects/aranya-reforestation/" TargetMode="External"/><Relationship Id="rId6" Type="http://schemas.openxmlformats.org/officeDocument/2006/relationships/hyperlink" Target="https://www.climateimpact.com/projects/advanced-landfill-gas-capture/" TargetMode="External"/><Relationship Id="rId5" Type="http://schemas.openxmlformats.org/officeDocument/2006/relationships/hyperlink" Target="https://www.climateimpact.com/projects/bondhu-chula-stoves-bangladesh/" TargetMode="External"/><Relationship Id="rId4" Type="http://schemas.openxmlformats.org/officeDocument/2006/relationships/hyperlink" Target="https://www.climateimpact.com/projects/accelerate-cd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1D09-CEE9-4026-B7C6-724DE7DACC58}">
  <dimension ref="A1:X19"/>
  <sheetViews>
    <sheetView tabSelected="1" workbookViewId="0">
      <selection activeCell="J27" sqref="J27"/>
    </sheetView>
  </sheetViews>
  <sheetFormatPr defaultRowHeight="15" x14ac:dyDescent="0.25"/>
  <cols>
    <col min="1" max="1" width="18.5703125" customWidth="1"/>
    <col min="2" max="2" width="5" hidden="1" customWidth="1"/>
    <col min="3" max="6" width="6.7109375" style="32" hidden="1" customWidth="1"/>
    <col min="7" max="16" width="6.7109375" style="32" customWidth="1"/>
    <col min="17" max="18" width="6.7109375" customWidth="1"/>
    <col min="19" max="19" width="12.42578125" customWidth="1"/>
    <col min="20" max="20" width="13" customWidth="1"/>
    <col min="21" max="22" width="12.85546875" customWidth="1"/>
    <col min="23" max="23" width="12.140625" customWidth="1"/>
    <col min="24" max="24" width="14.5703125" customWidth="1"/>
  </cols>
  <sheetData>
    <row r="1" spans="1:24" ht="18.75" x14ac:dyDescent="0.3">
      <c r="A1" s="2" t="s">
        <v>0</v>
      </c>
    </row>
    <row r="3" spans="1:24" x14ac:dyDescent="0.25">
      <c r="A3" s="1" t="s">
        <v>16</v>
      </c>
      <c r="T3" s="1" t="s">
        <v>39</v>
      </c>
    </row>
    <row r="4" spans="1:24" s="9" customFormat="1" x14ac:dyDescent="0.25">
      <c r="C4" s="33"/>
      <c r="D4" s="33"/>
      <c r="E4" s="33"/>
      <c r="F4" s="33"/>
      <c r="G4" s="33">
        <v>1</v>
      </c>
      <c r="H4" s="33">
        <v>2</v>
      </c>
      <c r="I4" s="33">
        <v>3</v>
      </c>
      <c r="J4" s="33">
        <v>4</v>
      </c>
      <c r="K4" s="33">
        <v>5</v>
      </c>
      <c r="L4" s="33">
        <v>6</v>
      </c>
      <c r="M4" s="33">
        <v>7</v>
      </c>
      <c r="N4" s="33">
        <v>8</v>
      </c>
      <c r="O4" s="33">
        <v>9</v>
      </c>
      <c r="P4" s="33">
        <v>10</v>
      </c>
      <c r="Q4"/>
      <c r="R4"/>
      <c r="T4"/>
      <c r="U4"/>
      <c r="V4"/>
      <c r="W4"/>
      <c r="X4"/>
    </row>
    <row r="5" spans="1:24" s="30" customFormat="1" ht="75" x14ac:dyDescent="0.25">
      <c r="A5" s="29" t="s">
        <v>1</v>
      </c>
      <c r="B5" s="29">
        <v>2021</v>
      </c>
      <c r="C5" s="34">
        <v>2022</v>
      </c>
      <c r="D5" s="34">
        <f t="shared" ref="D5:P5" si="0">C5+1</f>
        <v>2023</v>
      </c>
      <c r="E5" s="34">
        <f t="shared" si="0"/>
        <v>2024</v>
      </c>
      <c r="F5" s="34">
        <f t="shared" si="0"/>
        <v>2025</v>
      </c>
      <c r="G5" s="34">
        <f t="shared" si="0"/>
        <v>2026</v>
      </c>
      <c r="H5" s="34">
        <f t="shared" si="0"/>
        <v>2027</v>
      </c>
      <c r="I5" s="34">
        <f t="shared" si="0"/>
        <v>2028</v>
      </c>
      <c r="J5" s="34">
        <f t="shared" si="0"/>
        <v>2029</v>
      </c>
      <c r="K5" s="34">
        <f t="shared" si="0"/>
        <v>2030</v>
      </c>
      <c r="L5" s="34">
        <f t="shared" si="0"/>
        <v>2031</v>
      </c>
      <c r="M5" s="34">
        <f t="shared" si="0"/>
        <v>2032</v>
      </c>
      <c r="N5" s="34">
        <f t="shared" si="0"/>
        <v>2033</v>
      </c>
      <c r="O5" s="34">
        <f t="shared" si="0"/>
        <v>2034</v>
      </c>
      <c r="P5" s="34">
        <f t="shared" si="0"/>
        <v>2035</v>
      </c>
      <c r="Q5"/>
      <c r="R5"/>
      <c r="T5" s="29" t="s">
        <v>1</v>
      </c>
      <c r="U5" s="31" t="s">
        <v>36</v>
      </c>
      <c r="V5" s="31" t="s">
        <v>37</v>
      </c>
      <c r="W5" s="31" t="s">
        <v>38</v>
      </c>
      <c r="X5" s="31" t="s">
        <v>18</v>
      </c>
    </row>
    <row r="6" spans="1:24" x14ac:dyDescent="0.25">
      <c r="A6" s="8" t="s">
        <v>2</v>
      </c>
      <c r="B6" s="5">
        <v>8</v>
      </c>
      <c r="C6" s="35">
        <v>8</v>
      </c>
      <c r="D6" s="35">
        <f>C6</f>
        <v>8</v>
      </c>
      <c r="E6" s="35">
        <f>D6-2</f>
        <v>6</v>
      </c>
      <c r="F6" s="35">
        <f t="shared" ref="F6:H6" si="1">E6-2</f>
        <v>4</v>
      </c>
      <c r="G6" s="35">
        <f t="shared" si="1"/>
        <v>2</v>
      </c>
      <c r="H6" s="35">
        <f t="shared" si="1"/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T6" s="8" t="s">
        <v>2</v>
      </c>
      <c r="U6" s="6">
        <f>501148.82/B6</f>
        <v>62643.602500000001</v>
      </c>
      <c r="V6" s="6">
        <f>252504.89/B6</f>
        <v>31563.111250000002</v>
      </c>
      <c r="W6" s="6">
        <f>142251.1805/B6</f>
        <v>17781.397562499998</v>
      </c>
      <c r="X6" s="6">
        <f>(U6-V6-W6)*12</f>
        <v>159589.12424999999</v>
      </c>
    </row>
    <row r="7" spans="1:24" x14ac:dyDescent="0.25">
      <c r="A7" s="5" t="s">
        <v>3</v>
      </c>
      <c r="B7" s="5">
        <v>2</v>
      </c>
      <c r="C7" s="35">
        <v>2</v>
      </c>
      <c r="D7" s="35">
        <f>C7-1</f>
        <v>1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T7" s="5" t="s">
        <v>3</v>
      </c>
      <c r="U7" s="6">
        <v>155468.88</v>
      </c>
      <c r="V7" s="6">
        <v>74772.985000000001</v>
      </c>
      <c r="W7" s="6">
        <v>51439.215175000005</v>
      </c>
      <c r="X7" s="6">
        <f t="shared" ref="X7:X18" si="2">(U7-V7-W7)*12</f>
        <v>351080.15789999999</v>
      </c>
    </row>
    <row r="8" spans="1:24" x14ac:dyDescent="0.25">
      <c r="A8" s="5" t="s">
        <v>4</v>
      </c>
      <c r="B8" s="5">
        <v>8</v>
      </c>
      <c r="C8" s="35">
        <v>12</v>
      </c>
      <c r="D8" s="35">
        <f t="shared" ref="D8:E8" si="3">C8+4</f>
        <v>16</v>
      </c>
      <c r="E8" s="35">
        <f t="shared" si="3"/>
        <v>20</v>
      </c>
      <c r="F8" s="35">
        <f>E8+4</f>
        <v>24</v>
      </c>
      <c r="G8" s="35">
        <f>F8+4</f>
        <v>28</v>
      </c>
      <c r="H8" s="35">
        <f t="shared" ref="H8:I8" si="4">G8+4</f>
        <v>32</v>
      </c>
      <c r="I8" s="35">
        <f t="shared" si="4"/>
        <v>36</v>
      </c>
      <c r="J8" s="35">
        <f>I8+1</f>
        <v>37</v>
      </c>
      <c r="K8" s="35">
        <f t="shared" ref="K8:M8" si="5">J8+1</f>
        <v>38</v>
      </c>
      <c r="L8" s="35">
        <f t="shared" si="5"/>
        <v>39</v>
      </c>
      <c r="M8" s="35">
        <f t="shared" si="5"/>
        <v>40</v>
      </c>
      <c r="N8" s="35">
        <f t="shared" ref="N8:P8" si="6">M8+1</f>
        <v>41</v>
      </c>
      <c r="O8" s="35">
        <f t="shared" si="6"/>
        <v>42</v>
      </c>
      <c r="P8" s="35">
        <f t="shared" si="6"/>
        <v>43</v>
      </c>
      <c r="T8" s="5" t="s">
        <v>4</v>
      </c>
      <c r="U8" s="6">
        <v>72373.260000000009</v>
      </c>
      <c r="V8" s="6">
        <v>21259.79</v>
      </c>
      <c r="W8" s="6">
        <v>37851.939171874998</v>
      </c>
      <c r="X8" s="6">
        <f t="shared" si="2"/>
        <v>159138.36993750013</v>
      </c>
    </row>
    <row r="9" spans="1:24" x14ac:dyDescent="0.25">
      <c r="A9" s="5" t="s">
        <v>5</v>
      </c>
      <c r="B9" s="5">
        <v>1</v>
      </c>
      <c r="C9" s="35">
        <v>3</v>
      </c>
      <c r="D9" s="35">
        <f t="shared" ref="D9:E9" si="7">C9+2</f>
        <v>5</v>
      </c>
      <c r="E9" s="35">
        <f t="shared" si="7"/>
        <v>7</v>
      </c>
      <c r="F9" s="35">
        <f>E9+4</f>
        <v>11</v>
      </c>
      <c r="G9" s="35">
        <f t="shared" ref="G9:H9" si="8">F9+4</f>
        <v>15</v>
      </c>
      <c r="H9" s="35">
        <f t="shared" si="8"/>
        <v>19</v>
      </c>
      <c r="I9" s="35">
        <f>H9</f>
        <v>19</v>
      </c>
      <c r="J9" s="35">
        <f t="shared" ref="J9:M9" si="9">I9+1</f>
        <v>20</v>
      </c>
      <c r="K9" s="35">
        <f t="shared" si="9"/>
        <v>21</v>
      </c>
      <c r="L9" s="35">
        <f t="shared" si="9"/>
        <v>22</v>
      </c>
      <c r="M9" s="35">
        <f t="shared" si="9"/>
        <v>23</v>
      </c>
      <c r="N9" s="35">
        <f t="shared" ref="N9:P9" si="10">M9+1</f>
        <v>24</v>
      </c>
      <c r="O9" s="35">
        <f t="shared" si="10"/>
        <v>25</v>
      </c>
      <c r="P9" s="35">
        <f t="shared" si="10"/>
        <v>26</v>
      </c>
      <c r="T9" s="5" t="s">
        <v>5</v>
      </c>
      <c r="U9" s="6">
        <v>94718</v>
      </c>
      <c r="V9" s="6">
        <v>39725.08</v>
      </c>
      <c r="W9" s="6">
        <v>29793.626</v>
      </c>
      <c r="X9" s="6">
        <f t="shared" si="2"/>
        <v>302391.52799999999</v>
      </c>
    </row>
    <row r="10" spans="1:24" x14ac:dyDescent="0.25">
      <c r="A10" s="5" t="s">
        <v>6</v>
      </c>
      <c r="B10" s="5">
        <v>1</v>
      </c>
      <c r="C10" s="35">
        <v>5</v>
      </c>
      <c r="D10" s="35">
        <f t="shared" ref="D10:I10" si="11">C10+4</f>
        <v>9</v>
      </c>
      <c r="E10" s="35">
        <f t="shared" si="11"/>
        <v>13</v>
      </c>
      <c r="F10" s="35">
        <f t="shared" si="11"/>
        <v>17</v>
      </c>
      <c r="G10" s="35">
        <f t="shared" si="11"/>
        <v>21</v>
      </c>
      <c r="H10" s="35">
        <f t="shared" si="11"/>
        <v>25</v>
      </c>
      <c r="I10" s="35">
        <f t="shared" si="11"/>
        <v>29</v>
      </c>
      <c r="J10" s="35">
        <f t="shared" ref="J10:M10" si="12">I10+1</f>
        <v>30</v>
      </c>
      <c r="K10" s="35">
        <f t="shared" si="12"/>
        <v>31</v>
      </c>
      <c r="L10" s="35">
        <f t="shared" si="12"/>
        <v>32</v>
      </c>
      <c r="M10" s="35">
        <f t="shared" si="12"/>
        <v>33</v>
      </c>
      <c r="N10" s="35">
        <f t="shared" ref="N10:P10" si="13">M10+1</f>
        <v>34</v>
      </c>
      <c r="O10" s="35">
        <f t="shared" si="13"/>
        <v>35</v>
      </c>
      <c r="P10" s="35">
        <f t="shared" si="13"/>
        <v>36</v>
      </c>
      <c r="T10" s="5" t="s">
        <v>6</v>
      </c>
      <c r="U10" s="6">
        <v>87009</v>
      </c>
      <c r="V10" s="6">
        <v>46583.98</v>
      </c>
      <c r="W10" s="6">
        <v>38533.627200000003</v>
      </c>
      <c r="X10" s="6">
        <f t="shared" si="2"/>
        <v>22696.71359999993</v>
      </c>
    </row>
    <row r="11" spans="1:24" x14ac:dyDescent="0.25">
      <c r="A11" s="5" t="s">
        <v>7</v>
      </c>
      <c r="B11" s="5">
        <v>30</v>
      </c>
      <c r="C11" s="35">
        <v>30</v>
      </c>
      <c r="D11" s="35">
        <f t="shared" ref="D11:G11" si="14">C11</f>
        <v>30</v>
      </c>
      <c r="E11" s="35">
        <f t="shared" si="14"/>
        <v>30</v>
      </c>
      <c r="F11" s="35">
        <f t="shared" si="14"/>
        <v>30</v>
      </c>
      <c r="G11" s="35">
        <f t="shared" si="14"/>
        <v>30</v>
      </c>
      <c r="H11" s="35">
        <f>G11</f>
        <v>30</v>
      </c>
      <c r="I11" s="35">
        <f>H11</f>
        <v>30</v>
      </c>
      <c r="J11" s="35">
        <f t="shared" ref="J11:M11" si="15">I11</f>
        <v>30</v>
      </c>
      <c r="K11" s="35">
        <f t="shared" si="15"/>
        <v>30</v>
      </c>
      <c r="L11" s="35">
        <f t="shared" si="15"/>
        <v>30</v>
      </c>
      <c r="M11" s="35">
        <f t="shared" si="15"/>
        <v>30</v>
      </c>
      <c r="N11" s="35">
        <f t="shared" ref="N11:P11" si="16">M11</f>
        <v>30</v>
      </c>
      <c r="O11" s="35">
        <f t="shared" si="16"/>
        <v>30</v>
      </c>
      <c r="P11" s="35">
        <f t="shared" si="16"/>
        <v>30</v>
      </c>
      <c r="T11" s="5" t="s">
        <v>7</v>
      </c>
      <c r="U11" s="6">
        <v>140857.23300000004</v>
      </c>
      <c r="V11" s="6">
        <v>82258.260333333354</v>
      </c>
      <c r="W11" s="6">
        <v>55401.478275833331</v>
      </c>
      <c r="X11" s="6">
        <f t="shared" si="2"/>
        <v>38369.93269000022</v>
      </c>
    </row>
    <row r="12" spans="1:24" x14ac:dyDescent="0.25">
      <c r="A12" s="5" t="s">
        <v>8</v>
      </c>
      <c r="B12" s="5">
        <v>16</v>
      </c>
      <c r="C12" s="35">
        <v>11</v>
      </c>
      <c r="D12" s="35">
        <f>C12-5</f>
        <v>6</v>
      </c>
      <c r="E12" s="35">
        <f>D12-5</f>
        <v>1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T12" s="5" t="s">
        <v>8</v>
      </c>
      <c r="U12" s="6">
        <v>15000</v>
      </c>
      <c r="V12" s="6">
        <v>3892.0031250000002</v>
      </c>
      <c r="W12" s="6">
        <v>6128.1923437500154</v>
      </c>
      <c r="X12" s="6">
        <f t="shared" si="2"/>
        <v>59757.654374999824</v>
      </c>
    </row>
    <row r="13" spans="1:24" x14ac:dyDescent="0.25">
      <c r="A13" s="5" t="s">
        <v>9</v>
      </c>
      <c r="B13" s="5">
        <v>79</v>
      </c>
      <c r="C13" s="35">
        <v>74</v>
      </c>
      <c r="D13" s="35">
        <f t="shared" ref="D13" si="17">C13-5</f>
        <v>69</v>
      </c>
      <c r="E13" s="35">
        <f>D13-10</f>
        <v>59</v>
      </c>
      <c r="F13" s="35">
        <f t="shared" ref="F13:J13" si="18">E13-10</f>
        <v>49</v>
      </c>
      <c r="G13" s="35">
        <f t="shared" si="18"/>
        <v>39</v>
      </c>
      <c r="H13" s="35">
        <f t="shared" si="18"/>
        <v>29</v>
      </c>
      <c r="I13" s="35">
        <f t="shared" si="18"/>
        <v>19</v>
      </c>
      <c r="J13" s="35">
        <f t="shared" si="18"/>
        <v>9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T13" s="5" t="s">
        <v>9</v>
      </c>
      <c r="U13" s="6">
        <v>84042.967848101296</v>
      </c>
      <c r="V13" s="6">
        <v>46730.750253164551</v>
      </c>
      <c r="W13" s="6">
        <v>18704.624790822789</v>
      </c>
      <c r="X13" s="6">
        <f t="shared" si="2"/>
        <v>223291.11364936747</v>
      </c>
    </row>
    <row r="14" spans="1:24" x14ac:dyDescent="0.25">
      <c r="A14" s="5" t="s">
        <v>10</v>
      </c>
      <c r="B14" s="5">
        <v>4</v>
      </c>
      <c r="C14" s="35">
        <v>5</v>
      </c>
      <c r="D14" s="35">
        <f>C14+3</f>
        <v>8</v>
      </c>
      <c r="E14" s="35">
        <f t="shared" ref="E14:I14" si="19">D14+3</f>
        <v>11</v>
      </c>
      <c r="F14" s="35">
        <f t="shared" si="19"/>
        <v>14</v>
      </c>
      <c r="G14" s="35">
        <f t="shared" si="19"/>
        <v>17</v>
      </c>
      <c r="H14" s="35">
        <f t="shared" si="19"/>
        <v>20</v>
      </c>
      <c r="I14" s="35">
        <f t="shared" si="19"/>
        <v>23</v>
      </c>
      <c r="J14" s="35">
        <f t="shared" ref="J14" si="20">I14+3</f>
        <v>26</v>
      </c>
      <c r="K14" s="35">
        <f t="shared" ref="K14" si="21">J14+3</f>
        <v>29</v>
      </c>
      <c r="L14" s="35">
        <f t="shared" ref="L14" si="22">K14+3</f>
        <v>32</v>
      </c>
      <c r="M14" s="35">
        <f t="shared" ref="M14:P14" si="23">L14+3</f>
        <v>35</v>
      </c>
      <c r="N14" s="35">
        <f t="shared" si="23"/>
        <v>38</v>
      </c>
      <c r="O14" s="35">
        <f t="shared" si="23"/>
        <v>41</v>
      </c>
      <c r="P14" s="35">
        <f t="shared" si="23"/>
        <v>44</v>
      </c>
      <c r="T14" s="5" t="s">
        <v>10</v>
      </c>
      <c r="U14" s="6">
        <v>142833.43</v>
      </c>
      <c r="V14" s="6">
        <v>49452.6325</v>
      </c>
      <c r="W14" s="6">
        <v>65060.656868750004</v>
      </c>
      <c r="X14" s="6">
        <f t="shared" si="2"/>
        <v>339841.68757499976</v>
      </c>
    </row>
    <row r="15" spans="1:24" x14ac:dyDescent="0.25">
      <c r="A15" s="5" t="s">
        <v>11</v>
      </c>
      <c r="B15" s="5">
        <v>12</v>
      </c>
      <c r="C15" s="35">
        <v>8</v>
      </c>
      <c r="D15" s="35">
        <f t="shared" ref="D15:E15" si="24">C15-4</f>
        <v>4</v>
      </c>
      <c r="E15" s="35">
        <f t="shared" si="24"/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T15" s="5" t="s">
        <v>11</v>
      </c>
      <c r="U15" s="6">
        <v>39036.769166666658</v>
      </c>
      <c r="V15" s="6">
        <v>6836.8975000000055</v>
      </c>
      <c r="W15" s="6">
        <v>7379.2360479166673</v>
      </c>
      <c r="X15" s="6">
        <f t="shared" si="2"/>
        <v>297847.62742499984</v>
      </c>
    </row>
    <row r="16" spans="1:24" x14ac:dyDescent="0.25">
      <c r="A16" s="5" t="s">
        <v>12</v>
      </c>
      <c r="B16" s="5">
        <v>17</v>
      </c>
      <c r="C16" s="35">
        <v>17</v>
      </c>
      <c r="D16" s="35">
        <f>C16</f>
        <v>17</v>
      </c>
      <c r="E16" s="35">
        <f>D16-4</f>
        <v>13</v>
      </c>
      <c r="F16" s="35">
        <f t="shared" ref="F16:H16" si="25">E16-4</f>
        <v>9</v>
      </c>
      <c r="G16" s="35">
        <f t="shared" si="25"/>
        <v>5</v>
      </c>
      <c r="H16" s="35">
        <f t="shared" si="25"/>
        <v>1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T16" s="5" t="s">
        <v>12</v>
      </c>
      <c r="U16" s="6">
        <v>112259.52705882354</v>
      </c>
      <c r="V16" s="6">
        <v>87146.450000000012</v>
      </c>
      <c r="W16" s="6">
        <v>33575.096669117644</v>
      </c>
      <c r="X16" s="6">
        <f t="shared" si="2"/>
        <v>-101544.23532352934</v>
      </c>
    </row>
    <row r="17" spans="1:24" x14ac:dyDescent="0.25">
      <c r="A17" s="5" t="s">
        <v>13</v>
      </c>
      <c r="B17" s="5">
        <v>23</v>
      </c>
      <c r="C17" s="35">
        <v>28</v>
      </c>
      <c r="D17" s="35">
        <f>C17+10</f>
        <v>38</v>
      </c>
      <c r="E17" s="35">
        <f>D17+5</f>
        <v>43</v>
      </c>
      <c r="F17" s="35">
        <f>E17+10</f>
        <v>53</v>
      </c>
      <c r="G17" s="35">
        <f t="shared" ref="G17" si="26">F17+3</f>
        <v>56</v>
      </c>
      <c r="H17" s="35">
        <f t="shared" ref="H17" si="27">G17+3</f>
        <v>59</v>
      </c>
      <c r="I17" s="35">
        <f t="shared" ref="I17" si="28">H17+3</f>
        <v>62</v>
      </c>
      <c r="J17" s="35">
        <f t="shared" ref="J17" si="29">I17+3</f>
        <v>65</v>
      </c>
      <c r="K17" s="35">
        <f t="shared" ref="K17" si="30">J17+3</f>
        <v>68</v>
      </c>
      <c r="L17" s="35">
        <f t="shared" ref="L17" si="31">K17+3</f>
        <v>71</v>
      </c>
      <c r="M17" s="35">
        <f t="shared" ref="M17" si="32">L17+3</f>
        <v>74</v>
      </c>
      <c r="N17" s="35">
        <f t="shared" ref="N17" si="33">M17+3</f>
        <v>77</v>
      </c>
      <c r="O17" s="35">
        <f t="shared" ref="O17" si="34">N17+3</f>
        <v>80</v>
      </c>
      <c r="P17" s="35">
        <f t="shared" ref="P17" si="35">O17+3</f>
        <v>83</v>
      </c>
      <c r="T17" s="5" t="s">
        <v>13</v>
      </c>
      <c r="U17" s="6">
        <v>179180.81304347827</v>
      </c>
      <c r="V17" s="6">
        <v>84712.787826086947</v>
      </c>
      <c r="W17" s="6">
        <v>63588.645751086937</v>
      </c>
      <c r="X17" s="6">
        <f t="shared" si="2"/>
        <v>370552.55359565257</v>
      </c>
    </row>
    <row r="18" spans="1:24" x14ac:dyDescent="0.25">
      <c r="A18" s="28" t="s">
        <v>14</v>
      </c>
      <c r="B18" s="5">
        <v>65</v>
      </c>
      <c r="C18" s="35">
        <v>50</v>
      </c>
      <c r="D18" s="35">
        <f t="shared" ref="D18:F18" si="36">C18-15</f>
        <v>35</v>
      </c>
      <c r="E18" s="35">
        <f t="shared" si="36"/>
        <v>20</v>
      </c>
      <c r="F18" s="35">
        <f t="shared" si="36"/>
        <v>5</v>
      </c>
      <c r="G18" s="35">
        <v>0</v>
      </c>
      <c r="H18" s="35">
        <f>G18</f>
        <v>0</v>
      </c>
      <c r="I18" s="35">
        <f t="shared" ref="I18:P18" si="37">H18</f>
        <v>0</v>
      </c>
      <c r="J18" s="35">
        <f t="shared" si="37"/>
        <v>0</v>
      </c>
      <c r="K18" s="35">
        <f t="shared" si="37"/>
        <v>0</v>
      </c>
      <c r="L18" s="35">
        <f t="shared" si="37"/>
        <v>0</v>
      </c>
      <c r="M18" s="35">
        <f t="shared" si="37"/>
        <v>0</v>
      </c>
      <c r="N18" s="35">
        <f t="shared" si="37"/>
        <v>0</v>
      </c>
      <c r="O18" s="35">
        <f t="shared" si="37"/>
        <v>0</v>
      </c>
      <c r="P18" s="35">
        <f t="shared" si="37"/>
        <v>0</v>
      </c>
      <c r="T18" s="5" t="s">
        <v>14</v>
      </c>
      <c r="U18" s="6">
        <v>51091.299076923075</v>
      </c>
      <c r="V18" s="6">
        <v>27591.877076923076</v>
      </c>
      <c r="W18" s="6">
        <v>12579.899938076922</v>
      </c>
      <c r="X18" s="6">
        <f t="shared" si="2"/>
        <v>131034.26474307693</v>
      </c>
    </row>
    <row r="19" spans="1:24" x14ac:dyDescent="0.25">
      <c r="A19" s="7" t="s">
        <v>17</v>
      </c>
      <c r="B19" s="7">
        <f>SUM(B6:B18)</f>
        <v>266</v>
      </c>
      <c r="C19" s="36">
        <f t="shared" ref="C19:L19" si="38">SUM(C6:C18)</f>
        <v>253</v>
      </c>
      <c r="D19" s="36">
        <f t="shared" si="38"/>
        <v>246</v>
      </c>
      <c r="E19" s="36">
        <f t="shared" si="38"/>
        <v>223</v>
      </c>
      <c r="F19" s="36">
        <f t="shared" si="38"/>
        <v>216</v>
      </c>
      <c r="G19" s="36">
        <f t="shared" si="38"/>
        <v>213</v>
      </c>
      <c r="H19" s="36">
        <f t="shared" si="38"/>
        <v>215</v>
      </c>
      <c r="I19" s="36">
        <f t="shared" si="38"/>
        <v>218</v>
      </c>
      <c r="J19" s="36">
        <f t="shared" si="38"/>
        <v>217</v>
      </c>
      <c r="K19" s="36">
        <f t="shared" si="38"/>
        <v>217</v>
      </c>
      <c r="L19" s="36">
        <f t="shared" si="38"/>
        <v>226</v>
      </c>
      <c r="M19" s="36">
        <f t="shared" ref="M19:N19" si="39">SUM(M6:M18)</f>
        <v>235</v>
      </c>
      <c r="N19" s="36">
        <f t="shared" si="39"/>
        <v>244</v>
      </c>
      <c r="O19" s="36">
        <f t="shared" ref="O19:P19" si="40">SUM(O6:O18)</f>
        <v>253</v>
      </c>
      <c r="P19" s="36">
        <f t="shared" si="40"/>
        <v>262</v>
      </c>
      <c r="T19" s="7" t="s">
        <v>17</v>
      </c>
      <c r="U19" s="10">
        <f>SUM(U6:U18)</f>
        <v>1236514.7816939929</v>
      </c>
      <c r="V19" s="10">
        <f t="shared" ref="V19:W19" si="41">SUM(V6:V18)</f>
        <v>602526.60486450791</v>
      </c>
      <c r="W19" s="10">
        <f t="shared" si="41"/>
        <v>437817.63579472929</v>
      </c>
      <c r="X19" s="10">
        <f>SUM(X6:X18)</f>
        <v>2354046.4924170678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EDF-FE41-48F1-A379-1C959C345E28}">
  <dimension ref="A1:D17"/>
  <sheetViews>
    <sheetView workbookViewId="0">
      <selection activeCell="D7" sqref="D7"/>
    </sheetView>
  </sheetViews>
  <sheetFormatPr defaultRowHeight="15" x14ac:dyDescent="0.25"/>
  <cols>
    <col min="1" max="1" width="15.7109375" customWidth="1"/>
    <col min="2" max="2" width="26.140625" bestFit="1" customWidth="1"/>
    <col min="3" max="3" width="21.85546875" customWidth="1"/>
    <col min="4" max="4" width="16.85546875" bestFit="1" customWidth="1"/>
    <col min="5" max="5" width="23.7109375" customWidth="1"/>
  </cols>
  <sheetData>
    <row r="1" spans="1:4" ht="18.75" x14ac:dyDescent="0.3">
      <c r="A1" s="2" t="s">
        <v>34</v>
      </c>
    </row>
    <row r="4" spans="1:4" x14ac:dyDescent="0.25">
      <c r="A4" s="3" t="s">
        <v>1</v>
      </c>
      <c r="B4" s="4" t="s">
        <v>35</v>
      </c>
      <c r="C4" s="4" t="s">
        <v>15</v>
      </c>
      <c r="D4" s="4" t="s">
        <v>33</v>
      </c>
    </row>
    <row r="5" spans="1:4" x14ac:dyDescent="0.25">
      <c r="A5" s="5" t="s">
        <v>2</v>
      </c>
      <c r="B5" s="6">
        <v>7</v>
      </c>
      <c r="C5" s="6">
        <v>375</v>
      </c>
      <c r="D5" s="6">
        <f>B5*C5</f>
        <v>2625</v>
      </c>
    </row>
    <row r="6" spans="1:4" x14ac:dyDescent="0.25">
      <c r="A6" s="5" t="s">
        <v>3</v>
      </c>
      <c r="B6" s="6">
        <v>108</v>
      </c>
      <c r="C6" s="6">
        <v>220</v>
      </c>
      <c r="D6" s="6">
        <f t="shared" ref="D6:D17" si="0">B6*C6</f>
        <v>23760</v>
      </c>
    </row>
    <row r="7" spans="1:4" x14ac:dyDescent="0.25">
      <c r="A7" s="5" t="s">
        <v>4</v>
      </c>
      <c r="B7" s="6">
        <v>7</v>
      </c>
      <c r="C7" s="6">
        <v>700</v>
      </c>
      <c r="D7" s="6">
        <f t="shared" si="0"/>
        <v>4900</v>
      </c>
    </row>
    <row r="8" spans="1:4" x14ac:dyDescent="0.25">
      <c r="A8" s="5" t="s">
        <v>5</v>
      </c>
      <c r="B8" s="6">
        <v>9</v>
      </c>
      <c r="C8" s="6">
        <v>700</v>
      </c>
      <c r="D8" s="6">
        <f t="shared" si="0"/>
        <v>6300</v>
      </c>
    </row>
    <row r="9" spans="1:4" x14ac:dyDescent="0.25">
      <c r="A9" s="5" t="s">
        <v>6</v>
      </c>
      <c r="B9" s="6">
        <v>7</v>
      </c>
      <c r="C9" s="6">
        <v>800</v>
      </c>
      <c r="D9" s="6">
        <f t="shared" si="0"/>
        <v>5600</v>
      </c>
    </row>
    <row r="10" spans="1:4" x14ac:dyDescent="0.25">
      <c r="A10" s="5" t="s">
        <v>7</v>
      </c>
      <c r="B10" s="6">
        <v>55</v>
      </c>
      <c r="C10" s="6">
        <v>300</v>
      </c>
      <c r="D10" s="6">
        <f t="shared" si="0"/>
        <v>16500</v>
      </c>
    </row>
    <row r="11" spans="1:4" x14ac:dyDescent="0.25">
      <c r="A11" s="5" t="s">
        <v>8</v>
      </c>
      <c r="B11" s="6">
        <v>47</v>
      </c>
      <c r="C11" s="6">
        <v>33</v>
      </c>
      <c r="D11" s="6">
        <f t="shared" si="0"/>
        <v>1551</v>
      </c>
    </row>
    <row r="12" spans="1:4" x14ac:dyDescent="0.25">
      <c r="A12" s="5" t="s">
        <v>9</v>
      </c>
      <c r="B12" s="6">
        <v>35</v>
      </c>
      <c r="C12" s="6">
        <v>200</v>
      </c>
      <c r="D12" s="6">
        <f t="shared" si="0"/>
        <v>7000</v>
      </c>
    </row>
    <row r="13" spans="1:4" x14ac:dyDescent="0.25">
      <c r="A13" s="5" t="s">
        <v>10</v>
      </c>
      <c r="B13" s="6">
        <v>67</v>
      </c>
      <c r="C13" s="6">
        <v>180</v>
      </c>
      <c r="D13" s="6">
        <f t="shared" si="0"/>
        <v>12060</v>
      </c>
    </row>
    <row r="14" spans="1:4" x14ac:dyDescent="0.25">
      <c r="A14" s="5" t="s">
        <v>11</v>
      </c>
      <c r="B14" s="6">
        <v>61</v>
      </c>
      <c r="C14" s="6">
        <v>185</v>
      </c>
      <c r="D14" s="6">
        <f t="shared" si="0"/>
        <v>11285</v>
      </c>
    </row>
    <row r="15" spans="1:4" x14ac:dyDescent="0.25">
      <c r="A15" s="5" t="s">
        <v>12</v>
      </c>
      <c r="B15" s="6">
        <v>79</v>
      </c>
      <c r="C15" s="6">
        <v>120</v>
      </c>
      <c r="D15" s="6">
        <f t="shared" si="0"/>
        <v>9480</v>
      </c>
    </row>
    <row r="16" spans="1:4" x14ac:dyDescent="0.25">
      <c r="A16" s="5" t="s">
        <v>13</v>
      </c>
      <c r="B16" s="6">
        <v>72</v>
      </c>
      <c r="C16" s="6">
        <v>170</v>
      </c>
      <c r="D16" s="6">
        <f t="shared" si="0"/>
        <v>12240</v>
      </c>
    </row>
    <row r="17" spans="1:4" x14ac:dyDescent="0.25">
      <c r="A17" s="5" t="s">
        <v>14</v>
      </c>
      <c r="B17" s="6">
        <v>8</v>
      </c>
      <c r="C17" s="6">
        <v>350</v>
      </c>
      <c r="D17" s="6">
        <f t="shared" si="0"/>
        <v>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24BF-4A8B-4AE2-822A-94A7F1CB86E6}">
  <dimension ref="A2:X18"/>
  <sheetViews>
    <sheetView workbookViewId="0">
      <selection activeCell="E24" sqref="E24"/>
    </sheetView>
  </sheetViews>
  <sheetFormatPr defaultColWidth="8.85546875" defaultRowHeight="14.25" x14ac:dyDescent="0.2"/>
  <cols>
    <col min="1" max="1" width="3.28515625" style="11" customWidth="1"/>
    <col min="2" max="2" width="47.85546875" style="12" bestFit="1" customWidth="1"/>
    <col min="3" max="3" width="12.7109375" style="13" customWidth="1"/>
    <col min="4" max="5" width="27.5703125" style="12" customWidth="1"/>
    <col min="6" max="6" width="13.7109375" style="14" customWidth="1"/>
    <col min="7" max="7" width="100.28515625" style="15" hidden="1" customWidth="1"/>
    <col min="8" max="16384" width="8.85546875" style="12"/>
  </cols>
  <sheetData>
    <row r="2" spans="1:9" s="20" customFormat="1" ht="52.9" customHeight="1" x14ac:dyDescent="0.25">
      <c r="A2" s="16" t="s">
        <v>19</v>
      </c>
      <c r="B2" s="17" t="s">
        <v>20</v>
      </c>
      <c r="C2" s="17" t="s">
        <v>21</v>
      </c>
      <c r="D2" s="18" t="s">
        <v>22</v>
      </c>
      <c r="E2" s="18" t="s">
        <v>1</v>
      </c>
      <c r="F2" s="19" t="s">
        <v>23</v>
      </c>
      <c r="G2" s="17" t="s">
        <v>24</v>
      </c>
    </row>
    <row r="3" spans="1:9" s="21" customFormat="1" ht="24.6" hidden="1" customHeight="1" x14ac:dyDescent="0.2">
      <c r="A3" s="11" t="s">
        <v>25</v>
      </c>
      <c r="B3" s="21" t="s">
        <v>25</v>
      </c>
      <c r="C3" s="22" t="str">
        <f>IFERROR(VLOOKUP(B3,#REF!,2,FALSE)," ")</f>
        <v xml:space="preserve"> </v>
      </c>
      <c r="D3" s="21" t="s">
        <v>26</v>
      </c>
      <c r="F3" s="23">
        <v>10</v>
      </c>
      <c r="G3" s="24"/>
    </row>
    <row r="4" spans="1:9" ht="15" x14ac:dyDescent="0.2">
      <c r="A4" s="11" t="str">
        <f>_xlfn.TEXTJOIN(, , D4, " - ",B4)</f>
        <v>India - Aranya Reforestation</v>
      </c>
      <c r="B4" s="25" t="s">
        <v>40</v>
      </c>
      <c r="C4" s="38" t="s">
        <v>42</v>
      </c>
      <c r="D4" s="25" t="s">
        <v>41</v>
      </c>
      <c r="E4" s="25" t="s">
        <v>43</v>
      </c>
      <c r="F4" s="37">
        <v>21.8</v>
      </c>
      <c r="G4" s="12" t="s">
        <v>28</v>
      </c>
    </row>
    <row r="5" spans="1:9" ht="15" x14ac:dyDescent="0.2">
      <c r="A5" s="11" t="str">
        <f>_xlfn.TEXTJOIN(, , D5, " - ",B5)</f>
        <v>Malaysia - Sabah INFAPRO Rainforest IFM</v>
      </c>
      <c r="B5" s="25" t="s">
        <v>44</v>
      </c>
      <c r="C5" s="38" t="s">
        <v>42</v>
      </c>
      <c r="D5" s="25" t="s">
        <v>45</v>
      </c>
      <c r="E5" s="25" t="s">
        <v>43</v>
      </c>
      <c r="F5" s="37">
        <v>28.200000000000003</v>
      </c>
      <c r="G5" s="12" t="s">
        <v>29</v>
      </c>
    </row>
    <row r="6" spans="1:9" ht="15" x14ac:dyDescent="0.2">
      <c r="A6" s="11" t="str">
        <f>_xlfn.TEXTJOIN(, , D6, " - ",B6)</f>
        <v xml:space="preserve"> - SAFc: Sustainable Aviation Fuel Certificates</v>
      </c>
      <c r="B6" s="25" t="s">
        <v>46</v>
      </c>
      <c r="C6" s="38" t="s">
        <v>42</v>
      </c>
      <c r="D6" s="25"/>
      <c r="E6" s="25" t="s">
        <v>47</v>
      </c>
      <c r="F6" s="37">
        <v>32.4</v>
      </c>
      <c r="G6" s="12" t="s">
        <v>27</v>
      </c>
    </row>
    <row r="7" spans="1:9" ht="15" x14ac:dyDescent="0.2">
      <c r="A7" s="11" t="str">
        <f>_xlfn.TEXTJOIN(, , D7, " - ",B7)</f>
        <v xml:space="preserve"> - Accelerate CDR</v>
      </c>
      <c r="B7" s="25" t="s">
        <v>48</v>
      </c>
      <c r="C7" s="38" t="s">
        <v>42</v>
      </c>
      <c r="D7" s="25"/>
      <c r="E7" s="25" t="s">
        <v>55</v>
      </c>
      <c r="F7" s="37">
        <v>34.9</v>
      </c>
      <c r="G7" s="12" t="s">
        <v>30</v>
      </c>
      <c r="H7" s="26"/>
      <c r="I7" s="26"/>
    </row>
    <row r="8" spans="1:9" ht="15" x14ac:dyDescent="0.2">
      <c r="A8" s="11" t="str">
        <f>_xlfn.TEXTJOIN(, , D8, " - ",B8)</f>
        <v>Bangladesh - Bondhu Chula Stoves</v>
      </c>
      <c r="B8" s="25" t="s">
        <v>49</v>
      </c>
      <c r="C8" s="38" t="s">
        <v>42</v>
      </c>
      <c r="D8" s="25" t="s">
        <v>51</v>
      </c>
      <c r="E8" s="25" t="s">
        <v>50</v>
      </c>
      <c r="F8" s="37">
        <v>14.8</v>
      </c>
      <c r="G8" s="12" t="s">
        <v>31</v>
      </c>
      <c r="H8" s="26"/>
      <c r="I8" s="26"/>
    </row>
    <row r="9" spans="1:9" ht="15" x14ac:dyDescent="0.2">
      <c r="A9" s="11" t="str">
        <f>_xlfn.TEXTJOIN(, , D9, " - ",B9)</f>
        <v>Mississippi, US - Advanced Landfill Gas Capture</v>
      </c>
      <c r="B9" s="25" t="s">
        <v>52</v>
      </c>
      <c r="C9" s="38" t="s">
        <v>42</v>
      </c>
      <c r="D9" s="25" t="s">
        <v>53</v>
      </c>
      <c r="E9" s="25" t="s">
        <v>54</v>
      </c>
      <c r="F9" s="37">
        <v>23.5</v>
      </c>
      <c r="G9" s="12" t="s">
        <v>32</v>
      </c>
      <c r="H9" s="26"/>
      <c r="I9" s="26"/>
    </row>
    <row r="10" spans="1:9" x14ac:dyDescent="0.2">
      <c r="F10" s="27"/>
    </row>
    <row r="11" spans="1:9" x14ac:dyDescent="0.2">
      <c r="F11" s="27"/>
    </row>
    <row r="12" spans="1:9" x14ac:dyDescent="0.2">
      <c r="F12" s="27"/>
    </row>
    <row r="13" spans="1:9" ht="15" x14ac:dyDescent="0.25">
      <c r="F13"/>
    </row>
    <row r="14" spans="1:9" x14ac:dyDescent="0.2">
      <c r="F14" s="27"/>
    </row>
    <row r="15" spans="1:9" x14ac:dyDescent="0.2">
      <c r="F15" s="27"/>
    </row>
    <row r="16" spans="1:9" x14ac:dyDescent="0.2">
      <c r="F16" s="27"/>
    </row>
    <row r="17" spans="6:6" x14ac:dyDescent="0.2">
      <c r="F17" s="27"/>
    </row>
    <row r="18" spans="6:6" x14ac:dyDescent="0.2">
      <c r="F18" s="27"/>
    </row>
  </sheetData>
  <conditionalFormatting sqref="F1:F12 F14:F1048576">
    <cfRule type="containsErrors" dxfId="2" priority="3">
      <formula>ISERROR(F1)</formula>
    </cfRule>
  </conditionalFormatting>
  <conditionalFormatting sqref="G10:G1048576">
    <cfRule type="cellIs" dxfId="1" priority="1" operator="equal">
      <formula>0</formula>
    </cfRule>
    <cfRule type="containsBlanks" dxfId="0" priority="2">
      <formula>LEN(TRIM(G10))=0</formula>
    </cfRule>
  </conditionalFormatting>
  <hyperlinks>
    <hyperlink ref="C4" r:id="rId1" xr:uid="{20AB3078-A61B-4C43-A749-3FDE2879A154}"/>
    <hyperlink ref="C5" r:id="rId2" xr:uid="{57CC58D0-294A-479D-B972-759EAA4E86B2}"/>
    <hyperlink ref="C6" r:id="rId3" xr:uid="{2748AB01-6E07-4660-92BC-88E0EE859729}"/>
    <hyperlink ref="C7" r:id="rId4" xr:uid="{50AB106E-3C4A-4E00-B187-3B5BCFB6B158}"/>
    <hyperlink ref="C8" r:id="rId5" xr:uid="{E5A7C05A-C5E0-4659-A7B2-E49FC21A8634}"/>
    <hyperlink ref="C9" r:id="rId6" xr:uid="{0B946043-F369-4279-A129-5593B5054808}"/>
  </hyperlinks>
  <pageMargins left="0.7" right="0.7" top="0.75" bottom="0.75" header="0.3" footer="0.3"/>
  <pageSetup paperSize="9"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hiMmQ4ZDM2LTUwZTktNGUzNS1iMTc5LWI3ODcyMzVjYmZlMCIgdmFsdWU9IiIgeG1sbnM9Imh0dHA6Ly93d3cuYm9sZG9uamFtZXMuY29tLzIwMDgvMDEvc2llL2ludGVybmFsL2xhYmVsIiAvPjxlbGVtZW50IHVpZD0iNDkzMzA3OTgtNzAwMy00ZTg2LTgzMzItYWY0OWYyMDU2NGE2IiB2YWx1ZT0iIiB4bWxucz0iaHR0cDovL3d3dy5ib2xkb25qYW1lcy5jb20vMjAwOC8wMS9zaWUvaW50ZXJuYWwvbGFiZWwiIC8+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xlbGVtZW50IHVpZD0iNzZjYjY2NDEtNjVjOS00OTI4LWIxYWEtODQxZDFiNWJkYjg2IiB2YWx1ZT0iIiB4bWxucz0iaHR0cDovL3d3dy5ib2xkb25qYW1lcy5jb20vMjAwOC8wMS9zaWUvaW50ZXJuYWwvbGFiZWwiIC8+PC9zaXNsPjxVc2VyTmFtZT5SUkxPQ0FMXFU1MTE0NTQ8L1VzZXJOYW1lPjxEYXRlVGltZT4yOC8xMC8yMDIxIDIxOjM3OjM0PC9EYXRlVGltZT48TGFiZWxTdHJpbmc+Tm9uLUNvbmZpZGVudGlhbCAtIFJvbGxzLVJveWNlIENvbnRlbnQgT25seSAtIE5vdCBTdWJqZWN0IHRvIEV4cG9ydCBDb250cm9sICAg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8b2d8d36-50e9-4e35-b179-b787235cbfe0" value=""/>
  <element uid="49330798-7003-4e86-8332-af49f20564a6" value=""/>
  <element uid="ec6abd3b-c0d6-4fa7-a60a-349d0f822e3b" value=""/>
  <element uid="46fe2329-c02b-4495-b624-12a499d069e2" value=""/>
  <element uid="76cb6641-65c9-4928-b1aa-841d1b5bdb86" value=""/>
</sisl>
</file>

<file path=customXml/itemProps1.xml><?xml version="1.0" encoding="utf-8"?>
<ds:datastoreItem xmlns:ds="http://schemas.openxmlformats.org/officeDocument/2006/customXml" ds:itemID="{DF24B873-8C97-4FDF-90C8-4580D734953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B20A566-7CDA-4037-968E-BD7281E61CB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Est.Emissions</vt:lpstr>
      <vt:lpstr>CO2.Credits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Ben</dc:creator>
  <cp:keywords>|1:Non-Conf|5:NonExpCont|6:NonGov|2:Rolls-Royce|22:No|</cp:keywords>
  <cp:lastModifiedBy>Koch, Annette</cp:lastModifiedBy>
  <dcterms:created xsi:type="dcterms:W3CDTF">2021-10-28T21:16:15Z</dcterms:created>
  <dcterms:modified xsi:type="dcterms:W3CDTF">2026-10-25T20:10:57Z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e07244f8-3e5b-421b-a95d-0405c71862f8</vt:lpwstr>
  </property>
  <property fmtid="{D5CDD505-2E9C-101B-9397-08002B2CF9AE}" pid="3" name="bjSaver">
    <vt:lpwstr>+hbf73q0Rkd9lc9nt6N5WUMEdhOrrxTz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policy="e56daa8a-7b27-48ac-85d4-db65acb580b6" origin="userSelected" xmlns="http://www.boldonj</vt:lpwstr>
  </property>
  <property fmtid="{D5CDD505-2E9C-101B-9397-08002B2CF9AE}" pid="5" name="bjDocumentLabelXML-0">
    <vt:lpwstr>ames.com/2008/01/sie/internal/label"&gt;&lt;element uid="8b2d8d36-50e9-4e35-b179-b787235cbfe0" value="" /&gt;&lt;element uid="49330798-7003-4e86-8332-af49f20564a6" value="" /&gt;&lt;element uid="ec6abd3b-c0d6-4fa7-a60a-349d0f822e3b" value="" /&gt;&lt;element uid="46fe2329-c02b-4</vt:lpwstr>
  </property>
  <property fmtid="{D5CDD505-2E9C-101B-9397-08002B2CF9AE}" pid="6" name="bjDocumentLabelXML-1">
    <vt:lpwstr>495-b624-12a499d069e2" value="" /&gt;&lt;element uid="76cb6641-65c9-4928-b1aa-841d1b5bdb86" value="" /&gt;&lt;/sisl&gt;</vt:lpwstr>
  </property>
  <property fmtid="{D5CDD505-2E9C-101B-9397-08002B2CF9AE}" pid="7" name="bjDocumentSecurityLabel">
    <vt:lpwstr>Non-Confidential - Rolls-Royce Content Only - Not Subject to Export Control     </vt:lpwstr>
  </property>
  <property fmtid="{D5CDD505-2E9C-101B-9397-08002B2CF9AE}" pid="8" name="GovSecClass">
    <vt:lpwstr>No_Classification</vt:lpwstr>
  </property>
  <property fmtid="{D5CDD505-2E9C-101B-9397-08002B2CF9AE}" pid="9" name="Ownership">
    <vt:lpwstr>Rolls-Royce_content_only</vt:lpwstr>
  </property>
  <property fmtid="{D5CDD505-2E9C-101B-9397-08002B2CF9AE}" pid="10" name="TCGovSecClass">
    <vt:lpwstr>No_Classification</vt:lpwstr>
  </property>
  <property fmtid="{D5CDD505-2E9C-101B-9397-08002B2CF9AE}" pid="11" name="BusinessSensitivity">
    <vt:lpwstr>Non-Confidential</vt:lpwstr>
  </property>
  <property fmtid="{D5CDD505-2E9C-101B-9397-08002B2CF9AE}" pid="12" name="ExportControlled">
    <vt:lpwstr>Not_Subject_to_Export_Control</vt:lpwstr>
  </property>
  <property fmtid="{D5CDD505-2E9C-101B-9397-08002B2CF9AE}" pid="13" name="bjLabelHistoryID">
    <vt:lpwstr>{DF24B873-8C97-4FDF-90C8-4580D7349535}</vt:lpwstr>
  </property>
  <property fmtid="{D5CDD505-2E9C-101B-9397-08002B2CF9AE}" pid="14" name="bjClsUserRVM">
    <vt:lpwstr>[]</vt:lpwstr>
  </property>
</Properties>
</file>